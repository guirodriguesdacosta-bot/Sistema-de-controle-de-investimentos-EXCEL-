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8130"/>
  </bookViews>
  <sheets>
    <sheet name="Planilha1" sheetId="1" r:id="rId1"/>
    <sheet name="Tipos de investimentos" sheetId="2" r:id="rId2"/>
  </sheets>
  <definedNames>
    <definedName name="Ano">Planilha1!$D$19</definedName>
    <definedName name="Investimento_Mensal">Planilha1!$D$18</definedName>
    <definedName name="Rendimento_Carteira">Planilha1!$D$14</definedName>
    <definedName name="salario">Planilha1!$D$13</definedName>
    <definedName name="Salário">Planilha1!$D$13</definedName>
    <definedName name="sugestao_investimento">Planilha1!$D$15</definedName>
    <definedName name="Taxa_Rendimento_Mensal">Planilha1!$D$20</definedName>
    <definedName name="total_acumulado">Planilha1!$D$21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C36" i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C33" i="1"/>
  <c r="D41" i="1" s="1"/>
  <c r="D21" i="1"/>
  <c r="D22" i="1" s="1"/>
  <c r="C25" i="1"/>
  <c r="D25" i="1" s="1"/>
  <c r="D15" i="1"/>
  <c r="C26" i="1"/>
  <c r="D26" i="1" s="1"/>
  <c r="C27" i="1"/>
  <c r="D27" i="1" s="1"/>
  <c r="C28" i="1"/>
  <c r="D28" i="1" s="1"/>
  <c r="C29" i="1"/>
  <c r="D29" i="1" s="1"/>
  <c r="D36" i="1" l="1"/>
  <c r="D40" i="1"/>
  <c r="D38" i="1"/>
  <c r="D37" i="1"/>
  <c r="D39" i="1"/>
  <c r="D42" i="1" l="1"/>
</calcChain>
</file>

<file path=xl/sharedStrings.xml><?xml version="1.0" encoding="utf-8"?>
<sst xmlns="http://schemas.openxmlformats.org/spreadsheetml/2006/main" count="70" uniqueCount="35">
  <si>
    <t>INVESTIMENTO MENSAL</t>
  </si>
  <si>
    <t>Quanto investir por mês?</t>
  </si>
  <si>
    <t>Por Quantos anos?</t>
  </si>
  <si>
    <t>Taxa de rendimento mensal?</t>
  </si>
  <si>
    <t>Patrimônio acumulado?</t>
  </si>
  <si>
    <t>Dividendo Mensais?</t>
  </si>
  <si>
    <t>Quanto em 2 anos?</t>
  </si>
  <si>
    <t>Quanto em 30 anos?</t>
  </si>
  <si>
    <t>Quanto em 20 anos?</t>
  </si>
  <si>
    <t>Quanto em 10 anos?</t>
  </si>
  <si>
    <t>Quanto em 5 anos?</t>
  </si>
  <si>
    <t>OUTROS CENÁRIOS DE INVESTIMENTO</t>
  </si>
  <si>
    <t>REDIMENTO MENSAL</t>
  </si>
  <si>
    <t>CONFIGURAÇÕES</t>
  </si>
  <si>
    <t>Rendimento Carteira</t>
  </si>
  <si>
    <t>Salário</t>
  </si>
  <si>
    <t>AGRESSIVO</t>
  </si>
  <si>
    <t>CONSERVADOR</t>
  </si>
  <si>
    <t>MODERADO</t>
  </si>
  <si>
    <t>PERFIL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</si>
  <si>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</si>
  <si>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</si>
  <si>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</si>
  <si>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</si>
  <si>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</si>
  <si>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</si>
  <si>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</si>
  <si>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</si>
  <si>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</si>
  <si>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</si>
  <si>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 COMERCIAL</t>
  </si>
  <si>
    <t>SELECIONE SEU PERFIL COMO INVESTIDOR</t>
  </si>
  <si>
    <t>TIPO DE FIIs</t>
  </si>
  <si>
    <t>SIMULE SEUS INVESTIMENTOS DE ACORDO COM O SEU PERFIL</t>
  </si>
  <si>
    <t>Sugestão de investimento(30%)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</si>
</sst>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R$&quot;\ #,##0.00;[Red]\-&quot;R$&quot;\ #,##0.00"/>
    <numFmt numFmtId="167" formatCode="&quot;R$&quot;\ #,##0.00"/>
  </numFmts>
  <fonts count="15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Leelawadee UI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theme="1"/>
      <name val="Segoe UI"/>
      <family val="2"/>
    </font>
    <font>
      <b/>
      <sz val="9"/>
      <color theme="0"/>
      <name val="Segoe UI Semibold"/>
      <family val="2"/>
    </font>
    <font>
      <sz val="11"/>
      <color rgb="FFC00000"/>
      <name val="Calibri"/>
      <family val="2"/>
      <scheme val="minor"/>
    </font>
    <font>
      <sz val="16"/>
      <color theme="1"/>
      <name val="Segoe UI Semibold"/>
      <family val="2"/>
    </font>
    <font>
      <sz val="16"/>
      <color theme="0"/>
      <name val="Segoe UI Semibold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40">
    <border>
      <left/>
      <right/>
      <top/>
      <bottom/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 style="thin">
        <color theme="2"/>
      </left>
      <right style="thin">
        <color theme="2"/>
      </right>
      <top style="thin">
        <color theme="9" tint="-0.249977111117893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/>
      <diagonal/>
    </border>
    <border>
      <left style="medium">
        <color theme="9" tint="-0.249977111117893"/>
      </left>
      <right/>
      <top style="medium">
        <color theme="9" tint="-0.249977111117893"/>
      </top>
      <bottom/>
      <diagonal/>
    </border>
    <border>
      <left/>
      <right/>
      <top style="medium">
        <color theme="9" tint="-0.249977111117893"/>
      </top>
      <bottom/>
      <diagonal/>
    </border>
    <border>
      <left/>
      <right style="medium">
        <color theme="9" tint="-0.249977111117893"/>
      </right>
      <top style="medium">
        <color theme="9" tint="-0.249977111117893"/>
      </top>
      <bottom style="thin">
        <color theme="1"/>
      </bottom>
      <diagonal/>
    </border>
    <border>
      <left style="thin">
        <color theme="2"/>
      </left>
      <right style="medium">
        <color theme="9" tint="-0.249977111117893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theme="9" tint="-0.249977111117893"/>
      </right>
      <top style="thin">
        <color theme="2"/>
      </top>
      <bottom style="medium">
        <color theme="9" tint="-0.249977111117893"/>
      </bottom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thin">
        <color theme="2"/>
      </right>
      <top style="thin">
        <color theme="9" tint="-0.249977111117893"/>
      </top>
      <bottom style="thin">
        <color theme="2"/>
      </bottom>
      <diagonal/>
    </border>
    <border>
      <left style="thin">
        <color theme="2"/>
      </left>
      <right style="medium">
        <color theme="9" tint="-0.249977111117893"/>
      </right>
      <top style="thin">
        <color theme="9" tint="-0.249977111117893"/>
      </top>
      <bottom style="thin">
        <color theme="2"/>
      </bottom>
      <diagonal/>
    </border>
    <border>
      <left style="medium">
        <color theme="9" tint="-0.249977111117893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theme="9" tint="-0.249977111117893"/>
      </left>
      <right style="thin">
        <color theme="2"/>
      </right>
      <top style="thin">
        <color theme="2"/>
      </top>
      <bottom style="medium">
        <color theme="9" tint="-0.249977111117893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theme="9" tint="-0.249977111117893"/>
      </bottom>
      <diagonal/>
    </border>
    <border>
      <left style="medium">
        <color theme="9" tint="-0.249977111117893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9" tint="-0.249977111117893"/>
      </right>
      <top style="thin">
        <color theme="1"/>
      </top>
      <bottom style="medium">
        <color theme="0" tint="-0.34998626667073579"/>
      </bottom>
      <diagonal/>
    </border>
    <border>
      <left style="medium">
        <color theme="9" tint="-0.249977111117893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9" tint="-0.249977111117893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9" tint="-0.249977111117893"/>
      </left>
      <right style="medium">
        <color theme="0" tint="-0.34998626667073579"/>
      </right>
      <top style="medium">
        <color theme="0" tint="-0.34998626667073579"/>
      </top>
      <bottom style="medium">
        <color theme="9" tint="-0.249977111117893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9" tint="-0.249977111117893"/>
      </bottom>
      <diagonal/>
    </border>
    <border>
      <left style="medium">
        <color theme="0" tint="-0.34998626667073579"/>
      </left>
      <right style="medium">
        <color theme="9" tint="-0.249977111117893"/>
      </right>
      <top style="medium">
        <color theme="0" tint="-0.34998626667073579"/>
      </top>
      <bottom style="medium">
        <color theme="9" tint="-0.249977111117893"/>
      </bottom>
      <diagonal/>
    </border>
    <border>
      <left style="medium">
        <color theme="0" tint="-0.34998626667073579"/>
      </left>
      <right style="medium">
        <color theme="9" tint="-0.249977111117893"/>
      </right>
      <top style="medium">
        <color theme="9" tint="-0.24994659260841701"/>
      </top>
      <bottom style="medium">
        <color theme="0" tint="-0.34998626667073579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9" tint="-0.24994659260841701"/>
      </left>
      <right style="thin">
        <color theme="0" tint="-4.9989318521683403E-2"/>
      </right>
      <top style="medium">
        <color theme="9" tint="-0.2499465926084170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theme="9" tint="-0.2499465926084170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9" tint="-0.24994659260841701"/>
      </right>
      <top style="medium">
        <color theme="9" tint="-0.24994659260841701"/>
      </top>
      <bottom style="thin">
        <color theme="0" tint="-4.9989318521683403E-2"/>
      </bottom>
      <diagonal/>
    </border>
    <border>
      <left style="medium">
        <color theme="9" tint="-0.24994659260841701"/>
      </left>
      <right style="thin">
        <color theme="0" tint="-4.9989318521683403E-2"/>
      </right>
      <top style="thin">
        <color theme="0" tint="-4.9989318521683403E-2"/>
      </top>
      <bottom style="medium">
        <color theme="9" tint="-0.2499465926084170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theme="9" tint="-0.24994659260841701"/>
      </bottom>
      <diagonal/>
    </border>
    <border>
      <left style="thin">
        <color theme="0" tint="-4.9989318521683403E-2"/>
      </left>
      <right style="medium">
        <color theme="9" tint="-0.24994659260841701"/>
      </right>
      <top style="thin">
        <color theme="0" tint="-4.9989318521683403E-2"/>
      </top>
      <bottom style="medium">
        <color theme="9" tint="-0.24994659260841701"/>
      </bottom>
      <diagonal/>
    </border>
    <border>
      <left style="medium">
        <color theme="9" tint="-0.24994659260841701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9" tint="-0.2499465926084170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thin">
        <color theme="0" tint="-4.9989318521683403E-2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medium">
        <color theme="9" tint="-0.24994659260841701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4">
    <xf numFmtId="0" fontId="0" fillId="0" borderId="0" xfId="0"/>
    <xf numFmtId="0" fontId="0" fillId="0" borderId="0" xfId="0" applyBorder="1"/>
    <xf numFmtId="0" fontId="2" fillId="0" borderId="0" xfId="0" applyFont="1"/>
    <xf numFmtId="0" fontId="4" fillId="9" borderId="8" xfId="0" applyFont="1" applyFill="1" applyBorder="1" applyAlignment="1">
      <alignment vertical="center"/>
    </xf>
    <xf numFmtId="0" fontId="3" fillId="3" borderId="11" xfId="0" applyFont="1" applyFill="1" applyBorder="1"/>
    <xf numFmtId="0" fontId="3" fillId="3" borderId="7" xfId="0" applyFont="1" applyFill="1" applyBorder="1"/>
    <xf numFmtId="0" fontId="5" fillId="9" borderId="6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7" fillId="5" borderId="17" xfId="0" applyFont="1" applyFill="1" applyBorder="1" applyAlignment="1">
      <alignment horizontal="left" indent="3"/>
    </xf>
    <xf numFmtId="0" fontId="7" fillId="5" borderId="18" xfId="0" applyFont="1" applyFill="1" applyBorder="1" applyAlignment="1">
      <alignment horizontal="left" indent="3"/>
    </xf>
    <xf numFmtId="167" fontId="8" fillId="0" borderId="19" xfId="0" applyNumberFormat="1" applyFont="1" applyBorder="1" applyAlignment="1">
      <alignment horizontal="center"/>
    </xf>
    <xf numFmtId="0" fontId="7" fillId="5" borderId="20" xfId="0" applyFont="1" applyFill="1" applyBorder="1" applyAlignment="1">
      <alignment horizontal="left" indent="3"/>
    </xf>
    <xf numFmtId="0" fontId="7" fillId="5" borderId="21" xfId="0" applyFont="1" applyFill="1" applyBorder="1" applyAlignment="1">
      <alignment horizontal="left" indent="3"/>
    </xf>
    <xf numFmtId="10" fontId="8" fillId="0" borderId="22" xfId="0" applyNumberFormat="1" applyFont="1" applyBorder="1" applyAlignment="1">
      <alignment horizontal="center"/>
    </xf>
    <xf numFmtId="0" fontId="7" fillId="5" borderId="23" xfId="0" applyFont="1" applyFill="1" applyBorder="1" applyAlignment="1">
      <alignment horizontal="left" indent="3"/>
    </xf>
    <xf numFmtId="0" fontId="7" fillId="5" borderId="24" xfId="0" applyFont="1" applyFill="1" applyBorder="1" applyAlignment="1">
      <alignment horizontal="left" indent="3"/>
    </xf>
    <xf numFmtId="0" fontId="7" fillId="0" borderId="17" xfId="0" applyFont="1" applyBorder="1" applyAlignment="1">
      <alignment horizontal="left" indent="3"/>
    </xf>
    <xf numFmtId="0" fontId="7" fillId="0" borderId="18" xfId="0" applyFont="1" applyBorder="1" applyAlignment="1">
      <alignment horizontal="left" indent="3"/>
    </xf>
    <xf numFmtId="167" fontId="8" fillId="0" borderId="26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left" indent="3"/>
    </xf>
    <xf numFmtId="0" fontId="7" fillId="0" borderId="21" xfId="0" applyFont="1" applyBorder="1" applyAlignment="1">
      <alignment horizontal="left" indent="3"/>
    </xf>
    <xf numFmtId="1" fontId="8" fillId="0" borderId="22" xfId="0" applyNumberFormat="1" applyFont="1" applyBorder="1" applyAlignment="1">
      <alignment horizontal="center" vertical="center"/>
    </xf>
    <xf numFmtId="10" fontId="8" fillId="0" borderId="22" xfId="0" applyNumberFormat="1" applyFont="1" applyBorder="1" applyAlignment="1">
      <alignment horizontal="center" vertical="center"/>
    </xf>
    <xf numFmtId="0" fontId="9" fillId="5" borderId="20" xfId="0" applyFont="1" applyFill="1" applyBorder="1" applyAlignment="1">
      <alignment horizontal="left" indent="3"/>
    </xf>
    <xf numFmtId="0" fontId="9" fillId="5" borderId="21" xfId="0" applyFont="1" applyFill="1" applyBorder="1" applyAlignment="1">
      <alignment horizontal="left" indent="3"/>
    </xf>
    <xf numFmtId="0" fontId="9" fillId="5" borderId="23" xfId="0" applyFont="1" applyFill="1" applyBorder="1" applyAlignment="1">
      <alignment horizontal="left" indent="3"/>
    </xf>
    <xf numFmtId="0" fontId="9" fillId="5" borderId="24" xfId="0" applyFont="1" applyFill="1" applyBorder="1" applyAlignment="1">
      <alignment horizontal="left" indent="3"/>
    </xf>
    <xf numFmtId="0" fontId="7" fillId="6" borderId="12" xfId="0" applyFont="1" applyFill="1" applyBorder="1" applyAlignment="1">
      <alignment horizontal="left" indent="3"/>
    </xf>
    <xf numFmtId="0" fontId="7" fillId="6" borderId="14" xfId="0" applyFont="1" applyFill="1" applyBorder="1" applyAlignment="1">
      <alignment horizontal="left" indent="3"/>
    </xf>
    <xf numFmtId="0" fontId="7" fillId="6" borderId="15" xfId="0" applyFont="1" applyFill="1" applyBorder="1" applyAlignment="1">
      <alignment horizontal="left" indent="3"/>
    </xf>
    <xf numFmtId="167" fontId="10" fillId="5" borderId="25" xfId="0" applyNumberFormat="1" applyFont="1" applyFill="1" applyBorder="1" applyAlignment="1">
      <alignment horizontal="center"/>
    </xf>
    <xf numFmtId="167" fontId="10" fillId="5" borderId="22" xfId="0" applyNumberFormat="1" applyFont="1" applyFill="1" applyBorder="1" applyAlignment="1">
      <alignment horizontal="center" vertical="center"/>
    </xf>
    <xf numFmtId="167" fontId="10" fillId="5" borderId="25" xfId="0" applyNumberFormat="1" applyFont="1" applyFill="1" applyBorder="1" applyAlignment="1">
      <alignment horizontal="center" vertical="center"/>
    </xf>
    <xf numFmtId="8" fontId="10" fillId="6" borderId="2" xfId="0" applyNumberFormat="1" applyFont="1" applyFill="1" applyBorder="1" applyAlignment="1">
      <alignment horizontal="center"/>
    </xf>
    <xf numFmtId="8" fontId="10" fillId="6" borderId="13" xfId="0" applyNumberFormat="1" applyFont="1" applyFill="1" applyBorder="1" applyAlignment="1">
      <alignment horizontal="left"/>
    </xf>
    <xf numFmtId="8" fontId="10" fillId="6" borderId="3" xfId="0" applyNumberFormat="1" applyFont="1" applyFill="1" applyBorder="1" applyAlignment="1">
      <alignment horizontal="center"/>
    </xf>
    <xf numFmtId="8" fontId="10" fillId="6" borderId="9" xfId="0" applyNumberFormat="1" applyFont="1" applyFill="1" applyBorder="1" applyAlignment="1">
      <alignment horizontal="left"/>
    </xf>
    <xf numFmtId="8" fontId="10" fillId="6" borderId="16" xfId="0" applyNumberFormat="1" applyFont="1" applyFill="1" applyBorder="1" applyAlignment="1">
      <alignment horizontal="center"/>
    </xf>
    <xf numFmtId="8" fontId="10" fillId="6" borderId="10" xfId="0" applyNumberFormat="1" applyFont="1" applyFill="1" applyBorder="1" applyAlignment="1">
      <alignment horizontal="left"/>
    </xf>
    <xf numFmtId="0" fontId="11" fillId="3" borderId="11" xfId="0" applyFont="1" applyFill="1" applyBorder="1" applyAlignment="1">
      <alignment horizontal="right"/>
    </xf>
    <xf numFmtId="0" fontId="0" fillId="5" borderId="0" xfId="0" applyFill="1"/>
    <xf numFmtId="9" fontId="0" fillId="0" borderId="0" xfId="0" applyNumberFormat="1"/>
    <xf numFmtId="10" fontId="0" fillId="0" borderId="0" xfId="0" applyNumberFormat="1"/>
    <xf numFmtId="9" fontId="0" fillId="5" borderId="27" xfId="0" applyNumberFormat="1" applyFill="1" applyBorder="1"/>
    <xf numFmtId="0" fontId="0" fillId="5" borderId="31" xfId="0" applyFill="1" applyBorder="1" applyAlignment="1">
      <alignment horizontal="left" indent="3"/>
    </xf>
    <xf numFmtId="0" fontId="0" fillId="5" borderId="33" xfId="0" applyFill="1" applyBorder="1"/>
    <xf numFmtId="0" fontId="0" fillId="8" borderId="28" xfId="0" applyFill="1" applyBorder="1"/>
    <xf numFmtId="0" fontId="0" fillId="8" borderId="29" xfId="0" applyFill="1" applyBorder="1"/>
    <xf numFmtId="0" fontId="0" fillId="8" borderId="30" xfId="0" applyFill="1" applyBorder="1"/>
    <xf numFmtId="0" fontId="0" fillId="5" borderId="34" xfId="0" applyFill="1" applyBorder="1"/>
    <xf numFmtId="167" fontId="0" fillId="5" borderId="35" xfId="0" applyNumberFormat="1" applyFill="1" applyBorder="1"/>
    <xf numFmtId="0" fontId="0" fillId="4" borderId="31" xfId="0" applyFill="1" applyBorder="1"/>
    <xf numFmtId="0" fontId="0" fillId="4" borderId="32" xfId="0" applyFill="1" applyBorder="1"/>
    <xf numFmtId="167" fontId="0" fillId="4" borderId="33" xfId="0" applyNumberFormat="1" applyFill="1" applyBorder="1"/>
    <xf numFmtId="0" fontId="1" fillId="2" borderId="37" xfId="1" applyBorder="1"/>
    <xf numFmtId="167" fontId="0" fillId="5" borderId="38" xfId="0" applyNumberFormat="1" applyFill="1" applyBorder="1" applyAlignment="1">
      <alignment horizontal="center" vertical="center"/>
    </xf>
    <xf numFmtId="0" fontId="12" fillId="7" borderId="39" xfId="1" applyFont="1" applyFill="1" applyBorder="1" applyAlignment="1">
      <alignment horizontal="center" vertical="center"/>
    </xf>
    <xf numFmtId="0" fontId="0" fillId="2" borderId="36" xfId="1" applyFont="1" applyBorder="1" applyAlignment="1">
      <alignment horizontal="left" indent="3"/>
    </xf>
    <xf numFmtId="0" fontId="13" fillId="7" borderId="5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indent="3"/>
    </xf>
    <xf numFmtId="0" fontId="14" fillId="7" borderId="4" xfId="0" applyFont="1" applyFill="1" applyBorder="1" applyAlignment="1">
      <alignment horizontal="left" vertical="center" indent="2"/>
    </xf>
  </cellXfs>
  <cellStyles count="2">
    <cellStyle name="Neutra" xfId="1" builtinId="28"/>
    <cellStyle name="Normal" xfId="0" builtinId="0"/>
  </cellStyles>
  <dxfs count="0"/>
  <tableStyles count="0" defaultTableStyle="TableStyleMedium2" defaultPivotStyle="PivotStyleLight16"/>
  <colors>
    <mruColors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4816234546441488"/>
          <c:y val="0.10271703401266392"/>
          <c:w val="0.32303990631804291"/>
          <c:h val="0.65451640328807204"/>
        </c:manualLayout>
      </c:layout>
      <c:pieChart>
        <c:varyColors val="1"/>
        <c:ser>
          <c:idx val="0"/>
          <c:order val="0"/>
          <c:tx>
            <c:strRef>
              <c:f>Planilha1!$C$35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39-4446-A17C-41EB81E5C3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39-4446-A17C-41EB81E5C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0</xdr:row>
      <xdr:rowOff>0</xdr:rowOff>
    </xdr:from>
    <xdr:to>
      <xdr:col>4</xdr:col>
      <xdr:colOff>466725</xdr:colOff>
      <xdr:row>0</xdr:row>
      <xdr:rowOff>542925</xdr:rowOff>
    </xdr:to>
    <xdr:sp macro="" textlink="">
      <xdr:nvSpPr>
        <xdr:cNvPr id="2" name="CaixaDeTexto 1"/>
        <xdr:cNvSpPr txBox="1"/>
      </xdr:nvSpPr>
      <xdr:spPr>
        <a:xfrm>
          <a:off x="1609725" y="0"/>
          <a:ext cx="1295400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4000" b="1">
            <a:solidFill>
              <a:schemeClr val="accent4"/>
            </a:solidFill>
            <a:latin typeface="Bodoni MT" panose="02070603080606020203" pitchFamily="18" charset="0"/>
          </a:endParaRPr>
        </a:p>
      </xdr:txBody>
    </xdr:sp>
    <xdr:clientData/>
  </xdr:twoCellAnchor>
  <xdr:twoCellAnchor>
    <xdr:from>
      <xdr:col>3</xdr:col>
      <xdr:colOff>238125</xdr:colOff>
      <xdr:row>0</xdr:row>
      <xdr:rowOff>428624</xdr:rowOff>
    </xdr:from>
    <xdr:to>
      <xdr:col>6</xdr:col>
      <xdr:colOff>266700</xdr:colOff>
      <xdr:row>1</xdr:row>
      <xdr:rowOff>104774</xdr:rowOff>
    </xdr:to>
    <xdr:sp macro="" textlink="">
      <xdr:nvSpPr>
        <xdr:cNvPr id="3" name="CaixaDeTexto 2"/>
        <xdr:cNvSpPr txBox="1"/>
      </xdr:nvSpPr>
      <xdr:spPr>
        <a:xfrm>
          <a:off x="2066925" y="428624"/>
          <a:ext cx="1857375" cy="695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3200" b="1">
            <a:solidFill>
              <a:schemeClr val="bg1"/>
            </a:solidFill>
            <a:latin typeface="Bodoni MT" panose="02070603080606020203" pitchFamily="18" charset="0"/>
          </a:endParaRPr>
        </a:p>
      </xdr:txBody>
    </xdr:sp>
    <xdr:clientData/>
  </xdr:twoCellAnchor>
  <xdr:twoCellAnchor>
    <xdr:from>
      <xdr:col>0</xdr:col>
      <xdr:colOff>228203</xdr:colOff>
      <xdr:row>42</xdr:row>
      <xdr:rowOff>89298</xdr:rowOff>
    </xdr:from>
    <xdr:to>
      <xdr:col>16382</xdr:col>
      <xdr:colOff>138907</xdr:colOff>
      <xdr:row>59</xdr:row>
      <xdr:rowOff>121444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406797</xdr:colOff>
      <xdr:row>0</xdr:row>
      <xdr:rowOff>1</xdr:rowOff>
    </xdr:from>
    <xdr:to>
      <xdr:col>16382</xdr:col>
      <xdr:colOff>9922</xdr:colOff>
      <xdr:row>10</xdr:row>
      <xdr:rowOff>14675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797" y="1"/>
          <a:ext cx="6250781" cy="1850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2"/>
  <sheetViews>
    <sheetView showGridLines="0" showRowColHeaders="0" tabSelected="1" zoomScale="96" zoomScaleNormal="96" workbookViewId="0">
      <selection activeCell="D13" sqref="D13"/>
    </sheetView>
  </sheetViews>
  <sheetFormatPr defaultColWidth="0" defaultRowHeight="15" x14ac:dyDescent="0.25"/>
  <cols>
    <col min="1" max="1" width="7.140625" customWidth="1"/>
    <col min="2" max="2" width="52.7109375" customWidth="1"/>
    <col min="3" max="3" width="24.140625" customWidth="1"/>
    <col min="4" max="4" width="14.7109375" customWidth="1"/>
    <col min="5" max="5" width="1" customWidth="1"/>
    <col min="6" max="16382" width="12.28515625" hidden="1"/>
    <col min="16383" max="16383" width="2.28515625" customWidth="1"/>
    <col min="16384" max="16384" width="1.28515625" customWidth="1"/>
  </cols>
  <sheetData>
    <row r="1" spans="2:4" ht="11.25" customHeight="1" x14ac:dyDescent="0.25"/>
    <row r="11" spans="2:4" ht="15.75" thickBot="1" x14ac:dyDescent="0.3"/>
    <row r="12" spans="2:4" ht="30.75" customHeight="1" x14ac:dyDescent="0.25">
      <c r="B12" s="6" t="s">
        <v>13</v>
      </c>
      <c r="C12" s="7"/>
      <c r="D12" s="3"/>
    </row>
    <row r="13" spans="2:4" ht="18" thickBot="1" x14ac:dyDescent="0.35">
      <c r="B13" s="10" t="s">
        <v>15</v>
      </c>
      <c r="C13" s="11"/>
      <c r="D13" s="12">
        <v>4200</v>
      </c>
    </row>
    <row r="14" spans="2:4" ht="18" thickBot="1" x14ac:dyDescent="0.35">
      <c r="B14" s="13" t="s">
        <v>14</v>
      </c>
      <c r="C14" s="14"/>
      <c r="D14" s="15">
        <v>8.9999999999999993E-3</v>
      </c>
    </row>
    <row r="15" spans="2:4" ht="18" customHeight="1" thickBot="1" x14ac:dyDescent="0.35">
      <c r="B15" s="16" t="s">
        <v>34</v>
      </c>
      <c r="C15" s="17"/>
      <c r="D15" s="32">
        <f>D13*30%</f>
        <v>1260</v>
      </c>
    </row>
    <row r="16" spans="2:4" ht="15.75" customHeight="1" thickBot="1" x14ac:dyDescent="0.3">
      <c r="B16" s="1"/>
    </row>
    <row r="17" spans="1:4" ht="30.75" customHeight="1" thickBot="1" x14ac:dyDescent="0.55000000000000004">
      <c r="B17" s="8" t="s">
        <v>0</v>
      </c>
      <c r="C17" s="9"/>
      <c r="D17" s="4"/>
    </row>
    <row r="18" spans="1:4" ht="17.25" customHeight="1" thickBot="1" x14ac:dyDescent="0.35">
      <c r="B18" s="18" t="s">
        <v>1</v>
      </c>
      <c r="C18" s="19"/>
      <c r="D18" s="20">
        <v>1260</v>
      </c>
    </row>
    <row r="19" spans="1:4" ht="18" thickBot="1" x14ac:dyDescent="0.35">
      <c r="B19" s="21" t="s">
        <v>2</v>
      </c>
      <c r="C19" s="22"/>
      <c r="D19" s="23">
        <v>10</v>
      </c>
    </row>
    <row r="20" spans="1:4" ht="18" thickBot="1" x14ac:dyDescent="0.35">
      <c r="B20" s="21" t="s">
        <v>3</v>
      </c>
      <c r="C20" s="22"/>
      <c r="D20" s="24">
        <v>1.0789999999999999E-2</v>
      </c>
    </row>
    <row r="21" spans="1:4" ht="18" thickBot="1" x14ac:dyDescent="0.35">
      <c r="B21" s="25" t="s">
        <v>4</v>
      </c>
      <c r="C21" s="26"/>
      <c r="D21" s="33">
        <f>FV(Taxa_Rendimento_Mensal,Ano*12,Investimento_Mensal*-1)</f>
        <v>306538.10778801696</v>
      </c>
    </row>
    <row r="22" spans="1:4" ht="18" thickBot="1" x14ac:dyDescent="0.35">
      <c r="B22" s="27" t="s">
        <v>5</v>
      </c>
      <c r="C22" s="28"/>
      <c r="D22" s="34">
        <f>D21*1%</f>
        <v>3065.3810778801699</v>
      </c>
    </row>
    <row r="23" spans="1:4" ht="15.75" thickBot="1" x14ac:dyDescent="0.3"/>
    <row r="24" spans="1:4" ht="17.25" x14ac:dyDescent="0.3">
      <c r="B24" s="62" t="s">
        <v>11</v>
      </c>
      <c r="C24" s="5"/>
      <c r="D24" s="41" t="s">
        <v>12</v>
      </c>
    </row>
    <row r="25" spans="1:4" ht="17.25" x14ac:dyDescent="0.3">
      <c r="A25" s="2">
        <v>2</v>
      </c>
      <c r="B25" s="29" t="s">
        <v>6</v>
      </c>
      <c r="C25" s="35">
        <f>FV($D$20,$A25*12,$D$18*-1)</f>
        <v>34306.810395032975</v>
      </c>
      <c r="D25" s="36">
        <f>C25*Rendimento_Carteira</f>
        <v>308.76129355529673</v>
      </c>
    </row>
    <row r="26" spans="1:4" ht="17.25" x14ac:dyDescent="0.3">
      <c r="A26" s="2">
        <v>5</v>
      </c>
      <c r="B26" s="30" t="s">
        <v>10</v>
      </c>
      <c r="C26" s="37">
        <f>FV($D$20,$A26*12,$D$18*-1)</f>
        <v>105558.91163809443</v>
      </c>
      <c r="D26" s="38">
        <f>C26*$D$14</f>
        <v>950.03020474284983</v>
      </c>
    </row>
    <row r="27" spans="1:4" ht="17.25" x14ac:dyDescent="0.3">
      <c r="A27" s="2">
        <v>10</v>
      </c>
      <c r="B27" s="30" t="s">
        <v>9</v>
      </c>
      <c r="C27" s="37">
        <f>FV($D$20,$A27*12,$D$18*-1)</f>
        <v>306538.10778801696</v>
      </c>
      <c r="D27" s="38">
        <f>C27*$D$14</f>
        <v>2758.8429700921524</v>
      </c>
    </row>
    <row r="28" spans="1:4" ht="17.25" x14ac:dyDescent="0.3">
      <c r="A28" s="2">
        <v>20</v>
      </c>
      <c r="B28" s="30" t="s">
        <v>8</v>
      </c>
      <c r="C28" s="37">
        <f>FV($D$20,$A28*12,$D$18*-1)</f>
        <v>1417749.9841223215</v>
      </c>
      <c r="D28" s="38">
        <f>C28*$D$14</f>
        <v>12759.749857100893</v>
      </c>
    </row>
    <row r="29" spans="1:4" ht="18" thickBot="1" x14ac:dyDescent="0.35">
      <c r="A29" s="2">
        <v>30</v>
      </c>
      <c r="B29" s="31" t="s">
        <v>7</v>
      </c>
      <c r="C29" s="39">
        <f>FV($D$20,$A29*12,$D$18*-1)</f>
        <v>5445933.7653059401</v>
      </c>
      <c r="D29" s="40">
        <f>C29*$D$14</f>
        <v>49013.403887753455</v>
      </c>
    </row>
    <row r="30" spans="1:4" ht="15.75" thickBot="1" x14ac:dyDescent="0.3"/>
    <row r="31" spans="1:4" ht="30.75" customHeight="1" thickBot="1" x14ac:dyDescent="0.3">
      <c r="B31" s="63" t="s">
        <v>33</v>
      </c>
      <c r="C31" s="60"/>
      <c r="D31" s="61"/>
    </row>
    <row r="32" spans="1:4" ht="15.75" thickBot="1" x14ac:dyDescent="0.3">
      <c r="B32" s="59" t="s">
        <v>31</v>
      </c>
      <c r="C32" s="58" t="s">
        <v>16</v>
      </c>
      <c r="D32" s="56"/>
    </row>
    <row r="33" spans="2:4" ht="15.75" thickBot="1" x14ac:dyDescent="0.3">
      <c r="B33" s="46" t="s">
        <v>20</v>
      </c>
      <c r="C33" s="57">
        <f>Investimento_Mensal</f>
        <v>1260</v>
      </c>
      <c r="D33" s="47"/>
    </row>
    <row r="34" spans="2:4" ht="15.75" thickBot="1" x14ac:dyDescent="0.3"/>
    <row r="35" spans="2:4" x14ac:dyDescent="0.25">
      <c r="B35" s="48" t="s">
        <v>32</v>
      </c>
      <c r="C35" s="49" t="s">
        <v>22</v>
      </c>
      <c r="D35" s="50" t="s">
        <v>23</v>
      </c>
    </row>
    <row r="36" spans="2:4" x14ac:dyDescent="0.25">
      <c r="B36" s="51" t="s">
        <v>24</v>
      </c>
      <c r="C36" s="45">
        <f>VLOOKUP($C$32&amp;"-"&amp;B36,'Tipos de investimentos'!$A$3:$D$20,4,FALSE)</f>
        <v>0.5</v>
      </c>
      <c r="D36" s="52">
        <f>$C$33*C36</f>
        <v>630</v>
      </c>
    </row>
    <row r="37" spans="2:4" x14ac:dyDescent="0.25">
      <c r="B37" s="51" t="s">
        <v>25</v>
      </c>
      <c r="C37" s="45">
        <f>VLOOKUP($C$32&amp;"-"&amp;B37,'Tipos de investimentos'!$A$3:$D$20,4,FALSE)</f>
        <v>0.1</v>
      </c>
      <c r="D37" s="52">
        <f t="shared" ref="D37:D41" si="0">$C$33*C37</f>
        <v>126</v>
      </c>
    </row>
    <row r="38" spans="2:4" x14ac:dyDescent="0.25">
      <c r="B38" s="51" t="s">
        <v>26</v>
      </c>
      <c r="C38" s="45">
        <f>VLOOKUP($C$32&amp;"-"&amp;B38,'Tipos de investimentos'!$A$3:$D$20,4,FALSE)</f>
        <v>0.05</v>
      </c>
      <c r="D38" s="52">
        <f t="shared" si="0"/>
        <v>63</v>
      </c>
    </row>
    <row r="39" spans="2:4" x14ac:dyDescent="0.25">
      <c r="B39" s="51" t="s">
        <v>27</v>
      </c>
      <c r="C39" s="45">
        <f>VLOOKUP($C$32&amp;"-"&amp;B39,'Tipos de investimentos'!$A$3:$D$20,4,FALSE)</f>
        <v>0.05</v>
      </c>
      <c r="D39" s="52">
        <f t="shared" si="0"/>
        <v>63</v>
      </c>
    </row>
    <row r="40" spans="2:4" x14ac:dyDescent="0.25">
      <c r="B40" s="51" t="s">
        <v>28</v>
      </c>
      <c r="C40" s="45">
        <f>VLOOKUP($C$32&amp;"-"&amp;B40,'Tipos de investimentos'!$A$3:$D$20,4,FALSE)</f>
        <v>0.2</v>
      </c>
      <c r="D40" s="52">
        <f t="shared" si="0"/>
        <v>252</v>
      </c>
    </row>
    <row r="41" spans="2:4" x14ac:dyDescent="0.25">
      <c r="B41" s="51" t="s">
        <v>29</v>
      </c>
      <c r="C41" s="45">
        <f>VLOOKUP($C$32&amp;"-"&amp;B41,'Tipos de investimentos'!$A$3:$D$20,4,FALSE)</f>
        <v>0.1</v>
      </c>
      <c r="D41" s="52">
        <f t="shared" si="0"/>
        <v>126</v>
      </c>
    </row>
    <row r="42" spans="2:4" ht="15.75" thickBot="1" x14ac:dyDescent="0.3">
      <c r="B42" s="53"/>
      <c r="C42" s="54"/>
      <c r="D42" s="55">
        <f>SUM(D36:D41)</f>
        <v>1260</v>
      </c>
    </row>
  </sheetData>
  <mergeCells count="10">
    <mergeCell ref="B12:C12"/>
    <mergeCell ref="B17:C17"/>
    <mergeCell ref="B19:C19"/>
    <mergeCell ref="B18:C18"/>
    <mergeCell ref="B20:C20"/>
    <mergeCell ref="B21:C21"/>
    <mergeCell ref="B22:C22"/>
    <mergeCell ref="B13:C13"/>
    <mergeCell ref="B14:C14"/>
    <mergeCell ref="B15:C15"/>
  </mergeCells>
  <dataValidations count="1">
    <dataValidation type="list" allowBlank="1" showInputMessage="1" showErrorMessage="1" sqref="C32">
      <formula1>"AGRESSIVO,CONSERVADOR,MODERADO"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0"/>
  <sheetViews>
    <sheetView workbookViewId="0">
      <selection activeCell="D12" sqref="D12"/>
    </sheetView>
  </sheetViews>
  <sheetFormatPr defaultRowHeight="15" x14ac:dyDescent="0.25"/>
  <cols>
    <col min="1" max="1" width="33.85546875" bestFit="1" customWidth="1"/>
    <col min="2" max="2" width="14.7109375" bestFit="1" customWidth="1"/>
    <col min="3" max="3" width="19" bestFit="1" customWidth="1"/>
    <col min="4" max="4" width="22.140625" bestFit="1" customWidth="1"/>
  </cols>
  <sheetData>
    <row r="2" spans="1:4" x14ac:dyDescent="0.25">
      <c r="A2" s="42" t="s">
        <v>30</v>
      </c>
      <c r="B2" s="42" t="s">
        <v>19</v>
      </c>
      <c r="C2" s="42" t="s">
        <v>21</v>
      </c>
      <c r="D2" s="42" t="s">
        <v>22</v>
      </c>
    </row>
    <row r="3" spans="1:4" x14ac:dyDescent="0.25">
      <c r="A3" t="str">
        <f>B3&amp;"-"&amp;C3</f>
        <v>CONSERVADOR-PAPEL</v>
      </c>
      <c r="B3" t="s">
        <v>17</v>
      </c>
      <c r="C3" t="s">
        <v>24</v>
      </c>
      <c r="D3" s="44">
        <v>0.3</v>
      </c>
    </row>
    <row r="4" spans="1:4" x14ac:dyDescent="0.25">
      <c r="A4" t="str">
        <f t="shared" ref="A4:A20" si="0">B4&amp;"-"&amp;C4</f>
        <v>CONSERVADOR-TIJOLO</v>
      </c>
      <c r="B4" t="s">
        <v>17</v>
      </c>
      <c r="C4" t="s">
        <v>25</v>
      </c>
      <c r="D4" s="44">
        <v>0.5</v>
      </c>
    </row>
    <row r="5" spans="1:4" x14ac:dyDescent="0.25">
      <c r="A5" t="str">
        <f t="shared" si="0"/>
        <v>CONSERVADOR-HÍBRIDOS</v>
      </c>
      <c r="B5" t="s">
        <v>17</v>
      </c>
      <c r="C5" t="s">
        <v>26</v>
      </c>
      <c r="D5" s="44">
        <v>0.1</v>
      </c>
    </row>
    <row r="6" spans="1:4" x14ac:dyDescent="0.25">
      <c r="A6" t="str">
        <f t="shared" si="0"/>
        <v>CONSERVADOR-FOFs</v>
      </c>
      <c r="B6" t="s">
        <v>17</v>
      </c>
      <c r="C6" t="s">
        <v>27</v>
      </c>
      <c r="D6" s="44">
        <v>0.1</v>
      </c>
    </row>
    <row r="7" spans="1:4" x14ac:dyDescent="0.25">
      <c r="A7" t="str">
        <f t="shared" si="0"/>
        <v>CONSERVADOR-DESENVOLVIMENTO</v>
      </c>
      <c r="B7" t="s">
        <v>17</v>
      </c>
      <c r="C7" t="s">
        <v>28</v>
      </c>
      <c r="D7" s="44">
        <v>0</v>
      </c>
    </row>
    <row r="8" spans="1:4" x14ac:dyDescent="0.25">
      <c r="A8" t="str">
        <f t="shared" si="0"/>
        <v>CONSERVADOR-HOTELARIAS</v>
      </c>
      <c r="B8" t="s">
        <v>17</v>
      </c>
      <c r="C8" t="s">
        <v>29</v>
      </c>
      <c r="D8" s="44">
        <v>0</v>
      </c>
    </row>
    <row r="9" spans="1:4" x14ac:dyDescent="0.25">
      <c r="A9" t="str">
        <f t="shared" si="0"/>
        <v>MODERADO-PAPEL</v>
      </c>
      <c r="B9" t="s">
        <v>18</v>
      </c>
      <c r="C9" t="s">
        <v>24</v>
      </c>
      <c r="D9" s="43">
        <v>0.32</v>
      </c>
    </row>
    <row r="10" spans="1:4" x14ac:dyDescent="0.25">
      <c r="A10" t="str">
        <f t="shared" si="0"/>
        <v>MODERADO-TIJOLO</v>
      </c>
      <c r="B10" t="s">
        <v>18</v>
      </c>
      <c r="C10" t="s">
        <v>25</v>
      </c>
      <c r="D10" s="43">
        <v>0.35</v>
      </c>
    </row>
    <row r="11" spans="1:4" x14ac:dyDescent="0.25">
      <c r="A11" t="str">
        <f t="shared" si="0"/>
        <v>MODERADO-HÍBRIDOS</v>
      </c>
      <c r="B11" t="s">
        <v>18</v>
      </c>
      <c r="C11" t="s">
        <v>26</v>
      </c>
      <c r="D11" s="43">
        <v>0.08</v>
      </c>
    </row>
    <row r="12" spans="1:4" x14ac:dyDescent="0.25">
      <c r="A12" t="str">
        <f t="shared" si="0"/>
        <v>MODERADO-FOFs</v>
      </c>
      <c r="B12" t="s">
        <v>18</v>
      </c>
      <c r="C12" t="s">
        <v>27</v>
      </c>
      <c r="D12" s="43">
        <v>0.1</v>
      </c>
    </row>
    <row r="13" spans="1:4" x14ac:dyDescent="0.25">
      <c r="A13" t="str">
        <f t="shared" si="0"/>
        <v>MODERADO-DESENVOLVIMENTO</v>
      </c>
      <c r="B13" t="s">
        <v>18</v>
      </c>
      <c r="C13" t="s">
        <v>28</v>
      </c>
      <c r="D13" s="43">
        <v>0.1</v>
      </c>
    </row>
    <row r="14" spans="1:4" x14ac:dyDescent="0.25">
      <c r="A14" t="str">
        <f t="shared" si="0"/>
        <v>MODERADO-HOTELARIAS</v>
      </c>
      <c r="B14" t="s">
        <v>18</v>
      </c>
      <c r="C14" t="s">
        <v>29</v>
      </c>
      <c r="D14" s="43">
        <v>0.1</v>
      </c>
    </row>
    <row r="15" spans="1:4" x14ac:dyDescent="0.25">
      <c r="A15" t="str">
        <f t="shared" si="0"/>
        <v>AGRESSIVO-PAPEL</v>
      </c>
      <c r="B15" t="s">
        <v>16</v>
      </c>
      <c r="C15" t="s">
        <v>24</v>
      </c>
      <c r="D15" s="43">
        <v>0.5</v>
      </c>
    </row>
    <row r="16" spans="1:4" x14ac:dyDescent="0.25">
      <c r="A16" t="str">
        <f t="shared" si="0"/>
        <v>AGRESSIVO-TIJOLO</v>
      </c>
      <c r="B16" t="s">
        <v>16</v>
      </c>
      <c r="C16" t="s">
        <v>25</v>
      </c>
      <c r="D16" s="43">
        <v>0.1</v>
      </c>
    </row>
    <row r="17" spans="1:4" x14ac:dyDescent="0.25">
      <c r="A17" t="str">
        <f t="shared" si="0"/>
        <v>AGRESSIVO-HÍBRIDOS</v>
      </c>
      <c r="B17" t="s">
        <v>16</v>
      </c>
      <c r="C17" t="s">
        <v>26</v>
      </c>
      <c r="D17" s="43">
        <v>0.05</v>
      </c>
    </row>
    <row r="18" spans="1:4" x14ac:dyDescent="0.25">
      <c r="A18" t="str">
        <f t="shared" si="0"/>
        <v>AGRESSIVO-FOFs</v>
      </c>
      <c r="B18" t="s">
        <v>16</v>
      </c>
      <c r="C18" t="s">
        <v>27</v>
      </c>
      <c r="D18" s="43">
        <v>0.05</v>
      </c>
    </row>
    <row r="19" spans="1:4" x14ac:dyDescent="0.25">
      <c r="A19" t="str">
        <f t="shared" si="0"/>
        <v>AGRESSIVO-DESENVOLVIMENTO</v>
      </c>
      <c r="B19" t="s">
        <v>16</v>
      </c>
      <c r="C19" t="s">
        <v>28</v>
      </c>
      <c r="D19" s="43">
        <v>0.2</v>
      </c>
    </row>
    <row r="20" spans="1:4" x14ac:dyDescent="0.25">
      <c r="A20" t="str">
        <f t="shared" si="0"/>
        <v>AGRESSIVO-HOTELARIAS</v>
      </c>
      <c r="B20" t="s">
        <v>16</v>
      </c>
      <c r="C20" t="s">
        <v>29</v>
      </c>
      <c r="D20" s="4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Planilha1</vt:lpstr>
      <vt:lpstr>Tipos de investimentos</vt:lpstr>
      <vt:lpstr>Ano</vt:lpstr>
      <vt:lpstr>Investimento_Mensal</vt:lpstr>
      <vt:lpstr>Rendimento_Carteira</vt:lpstr>
      <vt:lpstr>salario</vt:lpstr>
      <vt:lpstr>Salário</vt:lpstr>
      <vt:lpstr>sugestao_investimento</vt:lpstr>
      <vt:lpstr>Taxa_Rendimento_Mensal</vt:lpstr>
      <vt:lpstr>total_acumulado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2026-10-01T16:42:41Z</dcterms:created>
  <dcterms:modified xsi:type="dcterms:W3CDTF">2026-10-01T19:56:01Z</dcterms:modified>
</cp:coreProperties>
</file>